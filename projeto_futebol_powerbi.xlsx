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Resumo por Time" sheetId="2" state="visible" r:id="rId2"/>
    <sheet xmlns:r="http://schemas.openxmlformats.org/officeDocument/2006/relationships" name="Guia Power 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0" customWidth="1" min="4" max="4"/>
    <col width="7" customWidth="1" min="5" max="5"/>
    <col width="13" customWidth="1" min="6" max="6"/>
    <col width="18" customWidth="1" min="7" max="7"/>
    <col width="17" customWidth="1" min="8" max="8"/>
    <col width="18" customWidth="1" min="9" max="9"/>
    <col width="10" customWidth="1" min="10" max="10"/>
  </cols>
  <sheetData>
    <row r="1" ht="22" customHeight="1">
      <c r="A1" s="1" t="inlineStr">
        <is>
          <t>Jogador</t>
        </is>
      </c>
      <c r="B1" s="1" t="inlineStr">
        <is>
          <t>Time</t>
        </is>
      </c>
      <c r="C1" s="1" t="inlineStr">
        <is>
          <t>Posição</t>
        </is>
      </c>
      <c r="D1" s="1" t="inlineStr">
        <is>
          <t>Partidas</t>
        </is>
      </c>
      <c r="E1" s="1" t="inlineStr">
        <is>
          <t>Gols</t>
        </is>
      </c>
      <c r="F1" s="1" t="inlineStr">
        <is>
          <t>Assistências</t>
        </is>
      </c>
      <c r="G1" s="1" t="inlineStr">
        <is>
          <t>Cartões Amarelos</t>
        </is>
      </c>
      <c r="H1" s="1" t="inlineStr">
        <is>
          <t>Cartões Vermelhos</t>
        </is>
      </c>
      <c r="I1" s="1" t="inlineStr">
        <is>
          <t>Minutos Jogados</t>
        </is>
      </c>
      <c r="J1" s="1" t="inlineStr">
        <is>
          <t>Temporada</t>
        </is>
      </c>
    </row>
    <row r="2">
      <c r="A2" s="2" t="inlineStr">
        <is>
          <t>Gabriel Martins</t>
        </is>
      </c>
      <c r="B2" s="2" t="inlineStr">
        <is>
          <t>Flamengo</t>
        </is>
      </c>
      <c r="C2" s="2" t="inlineStr">
        <is>
          <t>Atacante</t>
        </is>
      </c>
      <c r="D2" s="2" t="n">
        <v>34</v>
      </c>
      <c r="E2" s="2" t="n">
        <v>22</v>
      </c>
      <c r="F2" s="2" t="n">
        <v>8</v>
      </c>
      <c r="G2" s="2" t="n">
        <v>3</v>
      </c>
      <c r="H2" s="2" t="n">
        <v>0</v>
      </c>
      <c r="I2" s="2" t="n">
        <v>2890</v>
      </c>
      <c r="J2" s="2" t="n">
        <v>2024</v>
      </c>
    </row>
    <row r="3">
      <c r="A3" s="3" t="inlineStr">
        <is>
          <t>Lucas Oliveira</t>
        </is>
      </c>
      <c r="B3" s="3" t="inlineStr">
        <is>
          <t>Palmeiras</t>
        </is>
      </c>
      <c r="C3" s="3" t="inlineStr">
        <is>
          <t>Meio-Campo</t>
        </is>
      </c>
      <c r="D3" s="3" t="n">
        <v>32</v>
      </c>
      <c r="E3" s="3" t="n">
        <v>10</v>
      </c>
      <c r="F3" s="3" t="n">
        <v>14</v>
      </c>
      <c r="G3" s="3" t="n">
        <v>5</v>
      </c>
      <c r="H3" s="3" t="n">
        <v>1</v>
      </c>
      <c r="I3" s="3" t="n">
        <v>2720</v>
      </c>
      <c r="J3" s="3" t="n">
        <v>2024</v>
      </c>
    </row>
    <row r="4">
      <c r="A4" s="2" t="inlineStr">
        <is>
          <t>Pedro Alves</t>
        </is>
      </c>
      <c r="B4" s="2" t="inlineStr">
        <is>
          <t>São Paulo</t>
        </is>
      </c>
      <c r="C4" s="2" t="inlineStr">
        <is>
          <t>Atacante</t>
        </is>
      </c>
      <c r="D4" s="2" t="n">
        <v>30</v>
      </c>
      <c r="E4" s="2" t="n">
        <v>18</v>
      </c>
      <c r="F4" s="2" t="n">
        <v>5</v>
      </c>
      <c r="G4" s="2" t="n">
        <v>4</v>
      </c>
      <c r="H4" s="2" t="n">
        <v>0</v>
      </c>
      <c r="I4" s="2" t="n">
        <v>2540</v>
      </c>
      <c r="J4" s="2" t="n">
        <v>2024</v>
      </c>
    </row>
    <row r="5">
      <c r="A5" s="3" t="inlineStr">
        <is>
          <t>Rafael Costa</t>
        </is>
      </c>
      <c r="B5" s="3" t="inlineStr">
        <is>
          <t>Corinthians</t>
        </is>
      </c>
      <c r="C5" s="3" t="inlineStr">
        <is>
          <t>Defensor</t>
        </is>
      </c>
      <c r="D5" s="3" t="n">
        <v>33</v>
      </c>
      <c r="E5" s="3" t="n">
        <v>2</v>
      </c>
      <c r="F5" s="3" t="n">
        <v>3</v>
      </c>
      <c r="G5" s="3" t="n">
        <v>6</v>
      </c>
      <c r="H5" s="3" t="n">
        <v>1</v>
      </c>
      <c r="I5" s="3" t="n">
        <v>2970</v>
      </c>
      <c r="J5" s="3" t="n">
        <v>2024</v>
      </c>
    </row>
    <row r="6">
      <c r="A6" s="2" t="inlineStr">
        <is>
          <t>Thiago Santos</t>
        </is>
      </c>
      <c r="B6" s="2" t="inlineStr">
        <is>
          <t>Fluminense</t>
        </is>
      </c>
      <c r="C6" s="2" t="inlineStr">
        <is>
          <t>Meio-Campo</t>
        </is>
      </c>
      <c r="D6" s="2" t="n">
        <v>28</v>
      </c>
      <c r="E6" s="2" t="n">
        <v>7</v>
      </c>
      <c r="F6" s="2" t="n">
        <v>11</v>
      </c>
      <c r="G6" s="2" t="n">
        <v>3</v>
      </c>
      <c r="H6" s="2" t="n">
        <v>0</v>
      </c>
      <c r="I6" s="2" t="n">
        <v>2380</v>
      </c>
      <c r="J6" s="2" t="n">
        <v>2024</v>
      </c>
    </row>
    <row r="7">
      <c r="A7" s="3" t="inlineStr">
        <is>
          <t>Diego Ferreira</t>
        </is>
      </c>
      <c r="B7" s="3" t="inlineStr">
        <is>
          <t>Flamengo</t>
        </is>
      </c>
      <c r="C7" s="3" t="inlineStr">
        <is>
          <t>Atacante</t>
        </is>
      </c>
      <c r="D7" s="3" t="n">
        <v>29</v>
      </c>
      <c r="E7" s="3" t="n">
        <v>14</v>
      </c>
      <c r="F7" s="3" t="n">
        <v>6</v>
      </c>
      <c r="G7" s="3" t="n">
        <v>2</v>
      </c>
      <c r="H7" s="3" t="n">
        <v>0</v>
      </c>
      <c r="I7" s="3" t="n">
        <v>2460</v>
      </c>
      <c r="J7" s="3" t="n">
        <v>2024</v>
      </c>
    </row>
    <row r="8">
      <c r="A8" s="2" t="inlineStr">
        <is>
          <t>Carlos Lima</t>
        </is>
      </c>
      <c r="B8" s="2" t="inlineStr">
        <is>
          <t>Palmeiras</t>
        </is>
      </c>
      <c r="C8" s="2" t="inlineStr">
        <is>
          <t>Defensor</t>
        </is>
      </c>
      <c r="D8" s="2" t="n">
        <v>35</v>
      </c>
      <c r="E8" s="2" t="n">
        <v>1</v>
      </c>
      <c r="F8" s="2" t="n">
        <v>4</v>
      </c>
      <c r="G8" s="2" t="n">
        <v>7</v>
      </c>
      <c r="H8" s="2" t="n">
        <v>0</v>
      </c>
      <c r="I8" s="2" t="n">
        <v>3150</v>
      </c>
      <c r="J8" s="2" t="n">
        <v>2024</v>
      </c>
    </row>
    <row r="9">
      <c r="A9" s="3" t="inlineStr">
        <is>
          <t>Mateus Rocha</t>
        </is>
      </c>
      <c r="B9" s="3" t="inlineStr">
        <is>
          <t>São Paulo</t>
        </is>
      </c>
      <c r="C9" s="3" t="inlineStr">
        <is>
          <t>Meio-Campo</t>
        </is>
      </c>
      <c r="D9" s="3" t="n">
        <v>31</v>
      </c>
      <c r="E9" s="3" t="n">
        <v>9</v>
      </c>
      <c r="F9" s="3" t="n">
        <v>9</v>
      </c>
      <c r="G9" s="3" t="n">
        <v>4</v>
      </c>
      <c r="H9" s="3" t="n">
        <v>1</v>
      </c>
      <c r="I9" s="3" t="n">
        <v>2630</v>
      </c>
      <c r="J9" s="3" t="n">
        <v>2024</v>
      </c>
    </row>
    <row r="10">
      <c r="A10" s="2" t="inlineStr">
        <is>
          <t>Bruno Gomes</t>
        </is>
      </c>
      <c r="B10" s="2" t="inlineStr">
        <is>
          <t>Corinthians</t>
        </is>
      </c>
      <c r="C10" s="2" t="inlineStr">
        <is>
          <t>Atacante</t>
        </is>
      </c>
      <c r="D10" s="2" t="n">
        <v>27</v>
      </c>
      <c r="E10" s="2" t="n">
        <v>12</v>
      </c>
      <c r="F10" s="2" t="n">
        <v>3</v>
      </c>
      <c r="G10" s="2" t="n">
        <v>3</v>
      </c>
      <c r="H10" s="2" t="n">
        <v>0</v>
      </c>
      <c r="I10" s="2" t="n">
        <v>2290</v>
      </c>
      <c r="J10" s="2" t="n">
        <v>2024</v>
      </c>
    </row>
    <row r="11">
      <c r="A11" s="3" t="inlineStr">
        <is>
          <t>Felipe Souza</t>
        </is>
      </c>
      <c r="B11" s="3" t="inlineStr">
        <is>
          <t>Fluminense</t>
        </is>
      </c>
      <c r="C11" s="3" t="inlineStr">
        <is>
          <t>Defensor</t>
        </is>
      </c>
      <c r="D11" s="3" t="n">
        <v>30</v>
      </c>
      <c r="E11" s="3" t="n">
        <v>0</v>
      </c>
      <c r="F11" s="3" t="n">
        <v>2</v>
      </c>
      <c r="G11" s="3" t="n">
        <v>5</v>
      </c>
      <c r="H11" s="3" t="n">
        <v>0</v>
      </c>
      <c r="I11" s="3" t="n">
        <v>2700</v>
      </c>
      <c r="J11" s="3" t="n">
        <v>2024</v>
      </c>
    </row>
    <row r="12">
      <c r="A12" s="2" t="inlineStr">
        <is>
          <t>André Pereira</t>
        </is>
      </c>
      <c r="B12" s="2" t="inlineStr">
        <is>
          <t>Flamengo</t>
        </is>
      </c>
      <c r="C12" s="2" t="inlineStr">
        <is>
          <t>Meio-Campo</t>
        </is>
      </c>
      <c r="D12" s="2" t="n">
        <v>33</v>
      </c>
      <c r="E12" s="2" t="n">
        <v>11</v>
      </c>
      <c r="F12" s="2" t="n">
        <v>13</v>
      </c>
      <c r="G12" s="2" t="n">
        <v>4</v>
      </c>
      <c r="H12" s="2" t="n">
        <v>0</v>
      </c>
      <c r="I12" s="2" t="n">
        <v>2810</v>
      </c>
      <c r="J12" s="2" t="n">
        <v>2024</v>
      </c>
    </row>
    <row r="13">
      <c r="A13" s="3" t="inlineStr">
        <is>
          <t>Gustavo Silva</t>
        </is>
      </c>
      <c r="B13" s="3" t="inlineStr">
        <is>
          <t>Palmeiras</t>
        </is>
      </c>
      <c r="C13" s="3" t="inlineStr">
        <is>
          <t>Atacante</t>
        </is>
      </c>
      <c r="D13" s="3" t="n">
        <v>36</v>
      </c>
      <c r="E13" s="3" t="n">
        <v>25</v>
      </c>
      <c r="F13" s="3" t="n">
        <v>7</v>
      </c>
      <c r="G13" s="3" t="n">
        <v>2</v>
      </c>
      <c r="H13" s="3" t="n">
        <v>0</v>
      </c>
      <c r="I13" s="3" t="n">
        <v>3060</v>
      </c>
      <c r="J13" s="3" t="n">
        <v>2024</v>
      </c>
    </row>
    <row r="14">
      <c r="A14" s="2" t="inlineStr">
        <is>
          <t>Renato Nunes</t>
        </is>
      </c>
      <c r="B14" s="2" t="inlineStr">
        <is>
          <t>São Paulo</t>
        </is>
      </c>
      <c r="C14" s="2" t="inlineStr">
        <is>
          <t>Defensor</t>
        </is>
      </c>
      <c r="D14" s="2" t="n">
        <v>29</v>
      </c>
      <c r="E14" s="2" t="n">
        <v>3</v>
      </c>
      <c r="F14" s="2" t="n">
        <v>1</v>
      </c>
      <c r="G14" s="2" t="n">
        <v>6</v>
      </c>
      <c r="H14" s="2" t="n">
        <v>1</v>
      </c>
      <c r="I14" s="2" t="n">
        <v>2610</v>
      </c>
      <c r="J14" s="2" t="n">
        <v>2024</v>
      </c>
    </row>
    <row r="15">
      <c r="A15" s="3" t="inlineStr">
        <is>
          <t>Vinícius Melo</t>
        </is>
      </c>
      <c r="B15" s="3" t="inlineStr">
        <is>
          <t>Corinthians</t>
        </is>
      </c>
      <c r="C15" s="3" t="inlineStr">
        <is>
          <t>Meio-Campo</t>
        </is>
      </c>
      <c r="D15" s="3" t="n">
        <v>32</v>
      </c>
      <c r="E15" s="3" t="n">
        <v>8</v>
      </c>
      <c r="F15" s="3" t="n">
        <v>10</v>
      </c>
      <c r="G15" s="3" t="n">
        <v>5</v>
      </c>
      <c r="H15" s="3" t="n">
        <v>0</v>
      </c>
      <c r="I15" s="3" t="n">
        <v>2720</v>
      </c>
      <c r="J15" s="3" t="n">
        <v>2024</v>
      </c>
    </row>
    <row r="16">
      <c r="A16" s="2" t="inlineStr">
        <is>
          <t>João Ribeiro</t>
        </is>
      </c>
      <c r="B16" s="2" t="inlineStr">
        <is>
          <t>Fluminense</t>
        </is>
      </c>
      <c r="C16" s="2" t="inlineStr">
        <is>
          <t>Atacante</t>
        </is>
      </c>
      <c r="D16" s="2" t="n">
        <v>25</v>
      </c>
      <c r="E16" s="2" t="n">
        <v>9</v>
      </c>
      <c r="F16" s="2" t="n">
        <v>4</v>
      </c>
      <c r="G16" s="2" t="n">
        <v>1</v>
      </c>
      <c r="H16" s="2" t="n">
        <v>0</v>
      </c>
      <c r="I16" s="2" t="n">
        <v>2050</v>
      </c>
      <c r="J16" s="2" t="n">
        <v>2024</v>
      </c>
    </row>
    <row r="17">
      <c r="A17" s="3" t="inlineStr">
        <is>
          <t>Marcelo Dias</t>
        </is>
      </c>
      <c r="B17" s="3" t="inlineStr">
        <is>
          <t>Flamengo</t>
        </is>
      </c>
      <c r="C17" s="3" t="inlineStr">
        <is>
          <t>Defensor</t>
        </is>
      </c>
      <c r="D17" s="3" t="n">
        <v>34</v>
      </c>
      <c r="E17" s="3" t="n">
        <v>2</v>
      </c>
      <c r="F17" s="3" t="n">
        <v>5</v>
      </c>
      <c r="G17" s="3" t="n">
        <v>4</v>
      </c>
      <c r="H17" s="3" t="n">
        <v>0</v>
      </c>
      <c r="I17" s="3" t="n">
        <v>3060</v>
      </c>
      <c r="J17" s="3" t="n">
        <v>2024</v>
      </c>
    </row>
    <row r="18">
      <c r="A18" s="2" t="inlineStr">
        <is>
          <t>Igor Mendes</t>
        </is>
      </c>
      <c r="B18" s="2" t="inlineStr">
        <is>
          <t>Palmeiras</t>
        </is>
      </c>
      <c r="C18" s="2" t="inlineStr">
        <is>
          <t>Meio-Campo</t>
        </is>
      </c>
      <c r="D18" s="2" t="n">
        <v>30</v>
      </c>
      <c r="E18" s="2" t="n">
        <v>6</v>
      </c>
      <c r="F18" s="2" t="n">
        <v>8</v>
      </c>
      <c r="G18" s="2" t="n">
        <v>3</v>
      </c>
      <c r="H18" s="2" t="n">
        <v>0</v>
      </c>
      <c r="I18" s="2" t="n">
        <v>2550</v>
      </c>
      <c r="J18" s="2" t="n">
        <v>2024</v>
      </c>
    </row>
    <row r="19">
      <c r="A19" s="3" t="inlineStr">
        <is>
          <t>Leandro Cruz</t>
        </is>
      </c>
      <c r="B19" s="3" t="inlineStr">
        <is>
          <t>São Paulo</t>
        </is>
      </c>
      <c r="C19" s="3" t="inlineStr">
        <is>
          <t>Atacante</t>
        </is>
      </c>
      <c r="D19" s="3" t="n">
        <v>33</v>
      </c>
      <c r="E19" s="3" t="n">
        <v>16</v>
      </c>
      <c r="F19" s="3" t="n">
        <v>9</v>
      </c>
      <c r="G19" s="3" t="n">
        <v>3</v>
      </c>
      <c r="H19" s="3" t="n">
        <v>0</v>
      </c>
      <c r="I19" s="3" t="n">
        <v>2800</v>
      </c>
      <c r="J19" s="3" t="n">
        <v>2024</v>
      </c>
    </row>
    <row r="20">
      <c r="A20" s="2" t="inlineStr">
        <is>
          <t>Roberto Pinto</t>
        </is>
      </c>
      <c r="B20" s="2" t="inlineStr">
        <is>
          <t>Corinthians</t>
        </is>
      </c>
      <c r="C20" s="2" t="inlineStr">
        <is>
          <t>Defensor</t>
        </is>
      </c>
      <c r="D20" s="2" t="n">
        <v>28</v>
      </c>
      <c r="E20" s="2" t="n">
        <v>1</v>
      </c>
      <c r="F20" s="2" t="n">
        <v>2</v>
      </c>
      <c r="G20" s="2" t="n">
        <v>4</v>
      </c>
      <c r="H20" s="2" t="n">
        <v>0</v>
      </c>
      <c r="I20" s="2" t="n">
        <v>2520</v>
      </c>
      <c r="J20" s="2" t="n">
        <v>2024</v>
      </c>
    </row>
    <row r="21">
      <c r="A21" s="3" t="inlineStr">
        <is>
          <t>Caio Teixeira</t>
        </is>
      </c>
      <c r="B21" s="3" t="inlineStr">
        <is>
          <t>Fluminense</t>
        </is>
      </c>
      <c r="C21" s="3" t="inlineStr">
        <is>
          <t>Meio-Campo</t>
        </is>
      </c>
      <c r="D21" s="3" t="n">
        <v>31</v>
      </c>
      <c r="E21" s="3" t="n">
        <v>5</v>
      </c>
      <c r="F21" s="3" t="n">
        <v>7</v>
      </c>
      <c r="G21" s="3" t="n">
        <v>2</v>
      </c>
      <c r="H21" s="3" t="n">
        <v>0</v>
      </c>
      <c r="I21" s="3" t="n">
        <v>2635</v>
      </c>
      <c r="J21" s="3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8" customWidth="1" min="4" max="4"/>
    <col width="16" customWidth="1" min="5" max="5"/>
    <col width="20" customWidth="1" min="6" max="6"/>
  </cols>
  <sheetData>
    <row r="1">
      <c r="A1" s="4" t="inlineStr">
        <is>
          <t>Resumo por Time</t>
        </is>
      </c>
    </row>
    <row r="2">
      <c r="A2" s="5" t="inlineStr">
        <is>
          <t>Time</t>
        </is>
      </c>
      <c r="B2" s="5" t="inlineStr">
        <is>
          <t>Total Jogadores</t>
        </is>
      </c>
      <c r="C2" s="5" t="inlineStr">
        <is>
          <t>Total Gols</t>
        </is>
      </c>
      <c r="D2" s="5" t="inlineStr">
        <is>
          <t>Total Assistências</t>
        </is>
      </c>
      <c r="E2" s="5" t="inlineStr">
        <is>
          <t>Média de Gols</t>
        </is>
      </c>
      <c r="F2" s="5" t="inlineStr">
        <is>
          <t>Média de Assistências</t>
        </is>
      </c>
    </row>
    <row r="3">
      <c r="A3" s="6" t="inlineStr">
        <is>
          <t>Flamengo</t>
        </is>
      </c>
      <c r="B3" s="7">
        <f>COUNTIF('Dados Brutos'!B:B,A3)</f>
        <v/>
      </c>
      <c r="C3" s="7">
        <f>SUMIF('Dados Brutos'!B:B,A3,'Dados Brutos'!E:E)</f>
        <v/>
      </c>
      <c r="D3" s="7">
        <f>SUMIF('Dados Brutos'!B:B,A3,'Dados Brutos'!F:F)</f>
        <v/>
      </c>
      <c r="E3" s="8">
        <f>IFERROR(C3/B3,0)</f>
        <v/>
      </c>
      <c r="F3" s="8">
        <f>IFERROR(D3/B3,0)</f>
        <v/>
      </c>
    </row>
    <row r="4">
      <c r="A4" s="9" t="inlineStr">
        <is>
          <t>Palmeiras</t>
        </is>
      </c>
      <c r="B4" s="10">
        <f>COUNTIF('Dados Brutos'!B:B,A4)</f>
        <v/>
      </c>
      <c r="C4" s="10">
        <f>SUMIF('Dados Brutos'!B:B,A4,'Dados Brutos'!E:E)</f>
        <v/>
      </c>
      <c r="D4" s="10">
        <f>SUMIF('Dados Brutos'!B:B,A4,'Dados Brutos'!F:F)</f>
        <v/>
      </c>
      <c r="E4" s="11">
        <f>IFERROR(C4/B4,0)</f>
        <v/>
      </c>
      <c r="F4" s="11">
        <f>IFERROR(D4/B4,0)</f>
        <v/>
      </c>
    </row>
    <row r="5">
      <c r="A5" s="6" t="inlineStr">
        <is>
          <t>São Paulo</t>
        </is>
      </c>
      <c r="B5" s="7">
        <f>COUNTIF('Dados Brutos'!B:B,A5)</f>
        <v/>
      </c>
      <c r="C5" s="7">
        <f>SUMIF('Dados Brutos'!B:B,A5,'Dados Brutos'!E:E)</f>
        <v/>
      </c>
      <c r="D5" s="7">
        <f>SUMIF('Dados Brutos'!B:B,A5,'Dados Brutos'!F:F)</f>
        <v/>
      </c>
      <c r="E5" s="8">
        <f>IFERROR(C5/B5,0)</f>
        <v/>
      </c>
      <c r="F5" s="8">
        <f>IFERROR(D5/B5,0)</f>
        <v/>
      </c>
    </row>
    <row r="6">
      <c r="A6" s="9" t="inlineStr">
        <is>
          <t>Corinthians</t>
        </is>
      </c>
      <c r="B6" s="10">
        <f>COUNTIF('Dados Brutos'!B:B,A6)</f>
        <v/>
      </c>
      <c r="C6" s="10">
        <f>SUMIF('Dados Brutos'!B:B,A6,'Dados Brutos'!E:E)</f>
        <v/>
      </c>
      <c r="D6" s="10">
        <f>SUMIF('Dados Brutos'!B:B,A6,'Dados Brutos'!F:F)</f>
        <v/>
      </c>
      <c r="E6" s="11">
        <f>IFERROR(C6/B6,0)</f>
        <v/>
      </c>
      <c r="F6" s="11">
        <f>IFERROR(D6/B6,0)</f>
        <v/>
      </c>
    </row>
    <row r="7">
      <c r="A7" s="6" t="inlineStr">
        <is>
          <t>Fluminense</t>
        </is>
      </c>
      <c r="B7" s="7">
        <f>COUNTIF('Dados Brutos'!B:B,A7)</f>
        <v/>
      </c>
      <c r="C7" s="7">
        <f>SUMIF('Dados Brutos'!B:B,A7,'Dados Brutos'!E:E)</f>
        <v/>
      </c>
      <c r="D7" s="7">
        <f>SUMIF('Dados Brutos'!B:B,A7,'Dados Brutos'!F:F)</f>
        <v/>
      </c>
      <c r="E7" s="8">
        <f>IFERROR(C7/B7,0)</f>
        <v/>
      </c>
      <c r="F7" s="8">
        <f>IFERROR(D7/B7,0)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2" t="inlineStr">
        <is>
          <t>GUIA PASSO A PASSO — POWER BI</t>
        </is>
      </c>
    </row>
    <row r="2" ht="18" customHeight="1">
      <c r="A2" s="13" t="inlineStr"/>
    </row>
    <row r="3" ht="18" customHeight="1">
      <c r="A3" s="14" t="inlineStr">
        <is>
          <t>PASSO 1 — Importar o arquivo</t>
        </is>
      </c>
    </row>
    <row r="4" ht="18" customHeight="1">
      <c r="A4" s="15" t="inlineStr">
        <is>
          <t>1. Abra o Power BI Desktop</t>
        </is>
      </c>
    </row>
    <row r="5" ht="18" customHeight="1">
      <c r="A5" s="15" t="inlineStr">
        <is>
          <t>2. Clique em 'Obter Dados' &gt; 'Excel'</t>
        </is>
      </c>
    </row>
    <row r="6" ht="18" customHeight="1">
      <c r="A6" s="15" t="inlineStr">
        <is>
          <t>3. Selecione este arquivo e marque a aba 'Dados Brutos'</t>
        </is>
      </c>
    </row>
    <row r="7" ht="18" customHeight="1">
      <c r="A7" s="15" t="inlineStr">
        <is>
          <t>4. Clique em 'Transformar Dados' para abrir o Power Query</t>
        </is>
      </c>
    </row>
    <row r="8" ht="18" customHeight="1">
      <c r="A8" s="15" t="inlineStr"/>
    </row>
    <row r="9" ht="18" customHeight="1">
      <c r="A9" s="14" t="inlineStr">
        <is>
          <t>PASSO 2 — Limpeza no Power Query</t>
        </is>
      </c>
    </row>
    <row r="10" ht="18" customHeight="1">
      <c r="A10" s="15" t="inlineStr">
        <is>
          <t>1. Verifique os tipos de coluna (ícone ao lado do nome da coluna)</t>
        </is>
      </c>
    </row>
    <row r="11" ht="18" customHeight="1">
      <c r="A11" s="15" t="inlineStr">
        <is>
          <t>2. Gols, Assistências, Partidas → tipo Número Inteiro</t>
        </is>
      </c>
    </row>
    <row r="12" ht="18" customHeight="1">
      <c r="A12" s="15" t="inlineStr">
        <is>
          <t>3. Jogador, Time, Posição → tipo Texto</t>
        </is>
      </c>
    </row>
    <row r="13" ht="18" customHeight="1">
      <c r="A13" s="15" t="inlineStr">
        <is>
          <t>4. Clique em 'Fechar e Aplicar'</t>
        </is>
      </c>
    </row>
    <row r="14" ht="18" customHeight="1">
      <c r="A14" s="15" t="inlineStr"/>
    </row>
    <row r="15" ht="18" customHeight="1">
      <c r="A15" s="14" t="inlineStr">
        <is>
          <t>PASSO 3 — Medidas DAX para criar</t>
        </is>
      </c>
    </row>
    <row r="16" ht="18" customHeight="1">
      <c r="A16" s="16" t="inlineStr">
        <is>
          <t>Total de Gols = SUM('Dados Brutos'[Gols])</t>
        </is>
      </c>
    </row>
    <row r="17" ht="18" customHeight="1">
      <c r="A17" s="16" t="inlineStr">
        <is>
          <t>Total de Assistências = SUM('Dados Brutos'[Assistências])</t>
        </is>
      </c>
    </row>
    <row r="18" ht="18" customHeight="1">
      <c r="A18" s="16" t="inlineStr">
        <is>
          <t>Média de Gols = AVERAGE('Dados Brutos'[Gols])</t>
        </is>
      </c>
    </row>
    <row r="19" ht="18" customHeight="1">
      <c r="A19" s="16" t="inlineStr">
        <is>
          <t>Participações em Gols = [Total de Gols] + [Total de Assistências]</t>
        </is>
      </c>
    </row>
    <row r="20" ht="18" customHeight="1">
      <c r="A20" s="15" t="inlineStr"/>
    </row>
    <row r="21" ht="18" customHeight="1">
      <c r="A21" s="14" t="inlineStr">
        <is>
          <t>PASSO 4 — Visuais sugeridos</t>
        </is>
      </c>
    </row>
    <row r="22" ht="18" customHeight="1">
      <c r="A22" s="15" t="inlineStr">
        <is>
          <t>• Gráfico de Barras: Gols por Time</t>
        </is>
      </c>
    </row>
    <row r="23" ht="18" customHeight="1">
      <c r="A23" s="15" t="inlineStr">
        <is>
          <t>• Gráfico de Colunas: Top 5 Artilheiros</t>
        </is>
      </c>
    </row>
    <row r="24" ht="18" customHeight="1">
      <c r="A24" s="15" t="inlineStr">
        <is>
          <t>• Tabela: Lista completa com filtro por Posição</t>
        </is>
      </c>
    </row>
    <row r="25" ht="18" customHeight="1">
      <c r="A25" s="15" t="inlineStr">
        <is>
          <t>• Cartões (Cards): Total Gols | Total Assistências | Média Gols</t>
        </is>
      </c>
    </row>
    <row r="26" ht="18" customHeight="1">
      <c r="A26" s="15" t="inlineStr">
        <is>
          <t>• Segmentação de Dados: filtrar por Time e Posição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2026-04-01T18:03:03Z</dcterms:created>
  <dcterms:modified xmlns:dcterms="http://purl.org/dc/terms/" xmlns:xsi="http://www.w3.org/2001/XMLSchema-instance" xsi:type="dcterms:W3CDTF">2026-04-01T18:03:03Z</dcterms:modified>
</cp:coreProperties>
</file>